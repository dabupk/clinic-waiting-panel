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4000" windowHeight="96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4" i="1" l="1"/>
  <c r="AJ53" i="1" l="1"/>
  <c r="AI36" i="1" l="1"/>
  <c r="AJ36" i="1" s="1"/>
  <c r="AI44" i="1"/>
  <c r="AJ44" i="1" s="1"/>
  <c r="AI50" i="1"/>
  <c r="AJ50" i="1" s="1"/>
  <c r="AI49" i="1"/>
  <c r="AJ49" i="1" s="1"/>
  <c r="AI34" i="1"/>
  <c r="AJ34" i="1" s="1"/>
  <c r="AI52" i="1"/>
  <c r="AJ52" i="1" s="1"/>
  <c r="AI46" i="1"/>
  <c r="AJ46" i="1" s="1"/>
  <c r="AI43" i="1"/>
  <c r="AJ43" i="1" s="1"/>
  <c r="AI38" i="1"/>
  <c r="AJ38" i="1" s="1"/>
  <c r="AI48" i="1"/>
  <c r="AJ48" i="1" s="1"/>
  <c r="AI51" i="1"/>
  <c r="AJ51" i="1" s="1"/>
  <c r="AI35" i="1"/>
  <c r="AJ35" i="1" s="1"/>
  <c r="AI37" i="1"/>
  <c r="AJ37" i="1" s="1"/>
  <c r="AI47" i="1"/>
  <c r="AJ47" i="1" s="1"/>
  <c r="AI41" i="1"/>
  <c r="AJ41" i="1" s="1"/>
  <c r="AI33" i="1"/>
  <c r="AJ33" i="1" s="1"/>
  <c r="AI39" i="1"/>
  <c r="AJ39" i="1" s="1"/>
  <c r="AI42" i="1"/>
  <c r="AJ42" i="1" s="1"/>
  <c r="AI45" i="1"/>
  <c r="AJ45" i="1" s="1"/>
  <c r="AI40" i="1"/>
  <c r="AJ40" i="1" s="1"/>
  <c r="R7" i="1" l="1"/>
  <c r="R6" i="1"/>
  <c r="R8" i="1"/>
  <c r="Y8" i="1"/>
  <c r="Y10" i="1"/>
  <c r="Y9" i="1"/>
  <c r="Y11" i="1"/>
  <c r="Y12" i="1"/>
  <c r="Y6" i="1"/>
  <c r="Y5" i="1"/>
  <c r="Y7" i="1"/>
  <c r="T7" i="1"/>
  <c r="T9" i="1"/>
  <c r="T10" i="1"/>
  <c r="T6" i="1"/>
  <c r="T5" i="1"/>
  <c r="T11" i="1"/>
  <c r="T12" i="1"/>
  <c r="T8" i="1"/>
  <c r="X16" i="1"/>
  <c r="X15" i="1"/>
  <c r="X18" i="1"/>
  <c r="X17" i="1"/>
  <c r="X20" i="1"/>
  <c r="X19" i="1"/>
  <c r="X14" i="1"/>
  <c r="X13" i="1"/>
  <c r="Z8" i="1"/>
  <c r="Z9" i="1"/>
  <c r="Z12" i="1"/>
  <c r="Z7" i="1"/>
  <c r="Z11" i="1"/>
  <c r="Z10" i="1"/>
  <c r="Z6" i="1"/>
  <c r="Z5" i="1"/>
  <c r="U16" i="1"/>
  <c r="U19" i="1"/>
  <c r="U17" i="1"/>
  <c r="U15" i="1"/>
  <c r="U14" i="1"/>
  <c r="U13" i="1"/>
  <c r="U20" i="1"/>
  <c r="U18" i="1"/>
  <c r="AA8" i="1"/>
  <c r="AA11" i="1"/>
  <c r="AA9" i="1"/>
  <c r="AA7" i="1"/>
  <c r="AA5" i="1"/>
  <c r="AA12" i="1"/>
  <c r="AA6" i="1"/>
  <c r="AA10" i="1"/>
  <c r="V16" i="1"/>
  <c r="V19" i="1"/>
  <c r="V15" i="1"/>
  <c r="V18" i="1"/>
  <c r="V17" i="1"/>
  <c r="V14" i="1"/>
  <c r="V13" i="1"/>
  <c r="V20" i="1"/>
  <c r="W16" i="1"/>
  <c r="W18" i="1"/>
  <c r="W17" i="1"/>
  <c r="W20" i="1"/>
  <c r="W15" i="1"/>
  <c r="W14" i="1"/>
  <c r="W13" i="1"/>
  <c r="W19" i="1"/>
  <c r="AA18" i="1"/>
  <c r="AA19" i="1"/>
  <c r="AA17" i="1"/>
  <c r="AA14" i="1"/>
  <c r="AA13" i="1"/>
  <c r="AA20" i="1"/>
  <c r="AA16" i="1"/>
  <c r="AA15" i="1"/>
  <c r="S16" i="1"/>
  <c r="S19" i="1"/>
  <c r="S18" i="1"/>
  <c r="S14" i="1"/>
  <c r="S15" i="1"/>
  <c r="S13" i="1"/>
  <c r="S20" i="1"/>
  <c r="S17" i="1"/>
  <c r="R5" i="1"/>
  <c r="R11" i="1"/>
  <c r="R9" i="1"/>
  <c r="R10" i="1"/>
  <c r="R12" i="1"/>
  <c r="R16" i="1"/>
  <c r="R18" i="1"/>
  <c r="R17" i="1"/>
  <c r="R20" i="1"/>
  <c r="R14" i="1"/>
  <c r="R13" i="1"/>
  <c r="R15" i="1"/>
  <c r="R19" i="1"/>
  <c r="T16" i="1"/>
  <c r="T18" i="1"/>
  <c r="T17" i="1"/>
  <c r="T15" i="1"/>
  <c r="T14" i="1"/>
  <c r="T13" i="1"/>
  <c r="T20" i="1"/>
  <c r="T19" i="1"/>
  <c r="Z15" i="1"/>
  <c r="Z14" i="1"/>
  <c r="Z20" i="1"/>
  <c r="Z19" i="1"/>
  <c r="Z17" i="1"/>
  <c r="Z16" i="1"/>
  <c r="Z13" i="1"/>
  <c r="Z18" i="1"/>
  <c r="Y16" i="1"/>
  <c r="Y15" i="1"/>
  <c r="Y18" i="1"/>
  <c r="Y17" i="1"/>
  <c r="Y20" i="1"/>
  <c r="Y19" i="1"/>
  <c r="Y14" i="1"/>
  <c r="Y13" i="1"/>
  <c r="X8" i="1"/>
  <c r="X10" i="1"/>
  <c r="X6" i="1"/>
  <c r="X5" i="1"/>
  <c r="X12" i="1"/>
  <c r="X11" i="1"/>
  <c r="X9" i="1"/>
  <c r="X7" i="1"/>
  <c r="V8" i="1"/>
  <c r="V7" i="1"/>
  <c r="V9" i="1"/>
  <c r="V11" i="1"/>
  <c r="V10" i="1"/>
  <c r="V6" i="1"/>
  <c r="V5" i="1"/>
  <c r="V12" i="1"/>
  <c r="W8" i="1"/>
  <c r="W7" i="1"/>
  <c r="W10" i="1"/>
  <c r="W9" i="1"/>
  <c r="W12" i="1"/>
  <c r="W11" i="1"/>
  <c r="W6" i="1"/>
  <c r="W5" i="1"/>
  <c r="S7" i="1"/>
  <c r="S9" i="1"/>
  <c r="S11" i="1"/>
  <c r="S10" i="1"/>
  <c r="S6" i="1"/>
  <c r="S12" i="1"/>
  <c r="S8" i="1"/>
  <c r="S5" i="1"/>
  <c r="U8" i="1"/>
  <c r="U10" i="1"/>
  <c r="U11" i="1"/>
  <c r="U9" i="1"/>
  <c r="U6" i="1"/>
  <c r="U7" i="1"/>
  <c r="U5" i="1"/>
  <c r="U12" i="1"/>
  <c r="AE39" i="1" l="1"/>
  <c r="AF39" i="1" s="1"/>
  <c r="AE49" i="1"/>
  <c r="AF49" i="1" s="1"/>
  <c r="AE36" i="1"/>
  <c r="AF36" i="1" s="1"/>
  <c r="AE34" i="1"/>
  <c r="AF34" i="1" s="1"/>
  <c r="AE38" i="1"/>
  <c r="AF38" i="1" s="1"/>
  <c r="AE37" i="1"/>
  <c r="AF37" i="1" s="1"/>
  <c r="AE46" i="1"/>
  <c r="AF46" i="1" s="1"/>
  <c r="AE51" i="1"/>
  <c r="AF51" i="1" s="1"/>
  <c r="AE45" i="1"/>
  <c r="AF45" i="1" s="1"/>
  <c r="AE35" i="1"/>
  <c r="AF35" i="1" s="1"/>
  <c r="AE40" i="1"/>
  <c r="AF40" i="1" s="1"/>
  <c r="AE44" i="1"/>
  <c r="AF44" i="1" s="1"/>
  <c r="AE52" i="1"/>
  <c r="AF52" i="1" s="1"/>
  <c r="AE48" i="1"/>
  <c r="AF48" i="1" s="1"/>
  <c r="AE47" i="1"/>
  <c r="AF47" i="1" s="1"/>
  <c r="AE42" i="1"/>
  <c r="AF42" i="1" s="1"/>
  <c r="AE50" i="1"/>
  <c r="AF50" i="1" s="1"/>
  <c r="AE41" i="1"/>
  <c r="AF41" i="1" s="1"/>
  <c r="AE43" i="1"/>
  <c r="AF43" i="1" s="1"/>
  <c r="AE33" i="1"/>
  <c r="AF33" i="1" s="1"/>
  <c r="AF53" i="1" l="1"/>
  <c r="C4" i="1" s="1"/>
</calcChain>
</file>

<file path=xl/sharedStrings.xml><?xml version="1.0" encoding="utf-8"?>
<sst xmlns="http://schemas.openxmlformats.org/spreadsheetml/2006/main" count="37" uniqueCount="32">
  <si>
    <t>BYTE</t>
  </si>
  <si>
    <t>Sr.</t>
  </si>
  <si>
    <t>HEX</t>
  </si>
  <si>
    <t>DESIGNER</t>
  </si>
  <si>
    <t>PREVIEW</t>
  </si>
  <si>
    <t>BIN</t>
  </si>
  <si>
    <t>.</t>
  </si>
  <si>
    <t xml:space="preserve">OUTPUT : </t>
  </si>
  <si>
    <t xml:space="preserve">  INPUT : </t>
  </si>
  <si>
    <t>Don’t change anything outside the white box.</t>
  </si>
  <si>
    <t xml:space="preserve">Designer note : </t>
  </si>
  <si>
    <t>small boxes to 1s and 0s.</t>
  </si>
  <si>
    <t>from preview to designer.</t>
  </si>
  <si>
    <t>2. Don’t add multiple 1s and 0s in single box.</t>
  </si>
  <si>
    <t>1. Make you own font in desinger box by changing</t>
  </si>
  <si>
    <t>3. To add already made font just paste that font</t>
  </si>
  <si>
    <t>in preview and and than copy all the (values) boxes</t>
  </si>
  <si>
    <t xml:space="preserve">Preview note : </t>
  </si>
  <si>
    <t xml:space="preserve">        WARNING!</t>
  </si>
  <si>
    <t>2. Don’t change anything inside the preview box.</t>
  </si>
  <si>
    <t>1. Paste whole hex code including spaces into</t>
  </si>
  <si>
    <t>the input of preview.</t>
  </si>
  <si>
    <t xml:space="preserve">    0xFC, 0xFE, 0x03, 0x03, 0x03, 0x03, 0x03, 0x03, 0xFE, 0xFC, 0x3F, 0x7F, 0xC0, 0xC0, 0xC0, 0xC0, 0xC0, 0xC0, 0x7F, 0x3F, // 48 0</t>
  </si>
  <si>
    <t xml:space="preserve">    0x00, 0x08, 0x0C, 0x0E, 0xFF, 0xFF, 0x00, 0x00, 0x00, 0x00, 0x00, 0xC0, 0xC0, 0xC0, 0xFF, 0xFF, 0xC0, 0xC0, 0xC0, 0x00, // 49 1</t>
  </si>
  <si>
    <t xml:space="preserve">    0x83, 0x83, 0x83, 0x83, 0x83, 0x83, 0x83, 0x83, 0xFF, 0xFF, 0xFF, 0xFF, 0xC1, 0xC1, 0xC1, 0xC1, 0xC1, 0xC1, 0xC1, 0xC1, // 50 2</t>
  </si>
  <si>
    <t xml:space="preserve">    0x03, 0x03, 0x83, 0x83, 0x83, 0x83, 0x83, 0x83, 0xFF, 0xFF, 0xC0, 0xC0, 0xC1, 0xC1, 0xC1, 0xC1, 0xC1, 0xC1, 0xFF, 0xFF, // 51 3</t>
  </si>
  <si>
    <t xml:space="preserve">    0x80, 0xC0, 0xF0, 0x78, 0x3E, 0x3F, 0xFF, 0xFF, 0x00, 0x00, 0x1F, 0x1F, 0x18, 0x18, 0x18, 0x18, 0xFF, 0xFF, 0x18, 0x18, // 52 4</t>
  </si>
  <si>
    <t xml:space="preserve">    0xFF, 0xFF, 0x83, 0x83, 0x83, 0x83, 0x83, 0x83, 0x83, 0x83, 0xC1, 0xC1, 0xC1, 0xC1, 0xC1, 0xC1, 0xC1, 0xC1, 0xFF, 0xFF, // 53 5</t>
  </si>
  <si>
    <t xml:space="preserve">    0xFE, 0xFF, 0x83, 0x83, 0x83, 0x83, 0x83, 0x83, 0x87, 0x06, 0x7F, 0xFF, 0xC1, 0xC1, 0xC1, 0xC1, 0xC1, 0xC1, 0xFF, 0x7F, // 54 6</t>
  </si>
  <si>
    <t xml:space="preserve">    0x07, 0x03, 0x03, 0x03, 0x03, 0xC3, 0xF3, 0xFF, 0x3F, 0x0F, 0x00, 0x00, 0xF0, 0xFC, 0xFF, 0x0F, 0x03, 0x00, 0x00, 0x00, // 55 7</t>
  </si>
  <si>
    <t xml:space="preserve">    0x7E, 0xFF, 0x83, 0x83, 0x83, 0x83, 0x83, 0x83, 0xFF, 0x7E, 0x7E, 0xFF, 0xC1, 0xC1, 0xC1, 0xC1, 0xC1, 0xC1, 0xFF, 0x7E, // 56 8</t>
  </si>
  <si>
    <t xml:space="preserve">    0xFE, 0xFF, 0x03, 0x03, 0x03, 0x03, 0x03, 0x03, 0xFF, 0xFE, 0x61, 0xE3, 0xC3, 0xC3, 0xC3, 0xC3, 0xC3, 0xC3, 0xFF, 0x7F, // 57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</si>
</sst>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rgb="FFFF0000"/>
      </right>
      <top/>
      <bottom/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2" borderId="0" xfId="0" applyFont="1" applyFill="1" applyAlignment="1">
      <alignment horizontal="left"/>
    </xf>
    <xf numFmtId="0" fontId="1" fillId="4" borderId="0" xfId="0" applyFont="1" applyFill="1"/>
    <xf numFmtId="0" fontId="1" fillId="5" borderId="0" xfId="0" applyFont="1" applyFill="1"/>
    <xf numFmtId="0" fontId="1" fillId="5" borderId="0" xfId="0" applyFont="1" applyFill="1" applyAlignment="1">
      <alignment horizontal="left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left"/>
    </xf>
    <xf numFmtId="0" fontId="2" fillId="2" borderId="0" xfId="0" applyFont="1" applyFill="1"/>
    <xf numFmtId="0" fontId="8" fillId="3" borderId="1" xfId="0" applyFont="1" applyFill="1" applyBorder="1"/>
    <xf numFmtId="0" fontId="1" fillId="6" borderId="0" xfId="0" applyFont="1" applyFill="1"/>
    <xf numFmtId="0" fontId="1" fillId="6" borderId="0" xfId="0" applyFont="1" applyFill="1" applyAlignment="1">
      <alignment horizontal="left"/>
    </xf>
    <xf numFmtId="0" fontId="1" fillId="4" borderId="2" xfId="0" applyFont="1" applyFill="1" applyBorder="1"/>
    <xf numFmtId="0" fontId="1" fillId="6" borderId="0" xfId="0" applyFont="1" applyFill="1" applyBorder="1"/>
    <xf numFmtId="0" fontId="5" fillId="4" borderId="3" xfId="0" applyFont="1" applyFill="1" applyBorder="1"/>
    <xf numFmtId="0" fontId="5" fillId="4" borderId="4" xfId="0" applyFont="1" applyFill="1" applyBorder="1"/>
    <xf numFmtId="0" fontId="5" fillId="5" borderId="4" xfId="0" applyFont="1" applyFill="1" applyBorder="1"/>
    <xf numFmtId="0" fontId="5" fillId="5" borderId="4" xfId="0" applyFont="1" applyFill="1" applyBorder="1" applyAlignment="1">
      <alignment horizontal="left"/>
    </xf>
    <xf numFmtId="0" fontId="1" fillId="6" borderId="0" xfId="0" applyFont="1" applyFill="1" applyBorder="1" applyAlignment="1">
      <alignment horizontal="left"/>
    </xf>
    <xf numFmtId="0" fontId="5" fillId="4" borderId="5" xfId="0" applyFont="1" applyFill="1" applyBorder="1"/>
    <xf numFmtId="0" fontId="1" fillId="4" borderId="6" xfId="0" applyFont="1" applyFill="1" applyBorder="1"/>
    <xf numFmtId="0" fontId="5" fillId="5" borderId="3" xfId="0" applyFont="1" applyFill="1" applyBorder="1"/>
    <xf numFmtId="0" fontId="1" fillId="5" borderId="2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7" borderId="0" xfId="0" applyFont="1" applyFill="1" applyBorder="1" applyAlignment="1">
      <alignment horizontal="left"/>
    </xf>
    <xf numFmtId="1" fontId="1" fillId="5" borderId="1" xfId="0" applyNumberFormat="1" applyFont="1" applyFill="1" applyBorder="1" applyAlignment="1">
      <alignment horizontal="left"/>
    </xf>
    <xf numFmtId="0" fontId="9" fillId="6" borderId="0" xfId="0" applyFont="1" applyFill="1" applyBorder="1"/>
    <xf numFmtId="0" fontId="1" fillId="4" borderId="7" xfId="0" applyFont="1" applyFill="1" applyBorder="1"/>
    <xf numFmtId="0" fontId="1" fillId="4" borderId="0" xfId="0" applyFont="1" applyFill="1" applyBorder="1"/>
    <xf numFmtId="0" fontId="1" fillId="4" borderId="8" xfId="0" applyFont="1" applyFill="1" applyBorder="1"/>
    <xf numFmtId="0" fontId="1" fillId="5" borderId="9" xfId="0" applyFont="1" applyFill="1" applyBorder="1"/>
    <xf numFmtId="0" fontId="1" fillId="5" borderId="8" xfId="0" applyFont="1" applyFill="1" applyBorder="1"/>
    <xf numFmtId="0" fontId="9" fillId="6" borderId="0" xfId="0" applyFont="1" applyFill="1"/>
    <xf numFmtId="0" fontId="3" fillId="8" borderId="0" xfId="0" applyFont="1" applyFill="1"/>
    <xf numFmtId="0" fontId="6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10" fillId="2" borderId="10" xfId="0" applyFont="1" applyFill="1" applyBorder="1"/>
    <xf numFmtId="0" fontId="3" fillId="2" borderId="10" xfId="0" applyFont="1" applyFill="1" applyBorder="1"/>
    <xf numFmtId="0" fontId="3" fillId="2" borderId="11" xfId="0" applyFont="1" applyFill="1" applyBorder="1"/>
    <xf numFmtId="0" fontId="10" fillId="2" borderId="12" xfId="0" applyFont="1" applyFill="1" applyBorder="1"/>
    <xf numFmtId="0" fontId="4" fillId="2" borderId="11" xfId="0" applyFont="1" applyFill="1" applyBorder="1"/>
    <xf numFmtId="0" fontId="10" fillId="2" borderId="13" xfId="0" applyFont="1" applyFill="1" applyBorder="1"/>
    <xf numFmtId="0" fontId="10" fillId="2" borderId="0" xfId="0" applyFont="1" applyFill="1" applyBorder="1"/>
    <xf numFmtId="0" fontId="12" fillId="2" borderId="0" xfId="0" applyFont="1" applyFill="1"/>
    <xf numFmtId="0" fontId="10" fillId="2" borderId="11" xfId="0" applyFont="1" applyFill="1" applyBorder="1"/>
    <xf numFmtId="0" fontId="10" fillId="2" borderId="14" xfId="0" applyFont="1" applyFill="1" applyBorder="1"/>
    <xf numFmtId="0" fontId="4" fillId="2" borderId="15" xfId="0" applyFont="1" applyFill="1" applyBorder="1"/>
    <xf numFmtId="0" fontId="4" fillId="2" borderId="16" xfId="0" applyFont="1" applyFill="1" applyBorder="1"/>
    <xf numFmtId="0" fontId="4" fillId="2" borderId="17" xfId="0" applyFont="1" applyFill="1" applyBorder="1"/>
    <xf numFmtId="0" fontId="10" fillId="2" borderId="17" xfId="0" applyFont="1" applyFill="1" applyBorder="1"/>
    <xf numFmtId="0" fontId="10" fillId="2" borderId="18" xfId="0" applyFont="1" applyFill="1" applyBorder="1"/>
    <xf numFmtId="0" fontId="10" fillId="2" borderId="15" xfId="0" applyFont="1" applyFill="1" applyBorder="1"/>
    <xf numFmtId="0" fontId="10" fillId="2" borderId="19" xfId="0" applyFont="1" applyFill="1" applyBorder="1"/>
    <xf numFmtId="0" fontId="10" fillId="2" borderId="16" xfId="0" applyFont="1" applyFill="1" applyBorder="1"/>
    <xf numFmtId="0" fontId="1" fillId="2" borderId="20" xfId="0" applyFont="1" applyFill="1" applyBorder="1"/>
    <xf numFmtId="0" fontId="1" fillId="2" borderId="21" xfId="0" applyFont="1" applyFill="1" applyBorder="1"/>
    <xf numFmtId="0" fontId="9" fillId="2" borderId="22" xfId="0" applyFont="1" applyFill="1" applyBorder="1"/>
    <xf numFmtId="0" fontId="9" fillId="2" borderId="23" xfId="0" applyFont="1" applyFill="1" applyBorder="1"/>
    <xf numFmtId="0" fontId="1" fillId="2" borderId="24" xfId="0" applyFont="1" applyFill="1" applyBorder="1"/>
    <xf numFmtId="0" fontId="9" fillId="2" borderId="25" xfId="0" applyFont="1" applyFill="1" applyBorder="1"/>
    <xf numFmtId="0" fontId="1" fillId="2" borderId="26" xfId="0" applyFont="1" applyFill="1" applyBorder="1"/>
    <xf numFmtId="0" fontId="9" fillId="2" borderId="27" xfId="0" applyFont="1" applyFill="1" applyBorder="1"/>
    <xf numFmtId="0" fontId="9" fillId="2" borderId="24" xfId="0" applyFont="1" applyFill="1" applyBorder="1"/>
    <xf numFmtId="0" fontId="9" fillId="2" borderId="26" xfId="0" applyFont="1" applyFill="1" applyBorder="1"/>
    <xf numFmtId="0" fontId="7" fillId="2" borderId="27" xfId="0" applyFont="1" applyFill="1" applyBorder="1"/>
    <xf numFmtId="0" fontId="3" fillId="2" borderId="0" xfId="0" applyFont="1" applyFill="1" applyBorder="1"/>
    <xf numFmtId="0" fontId="4" fillId="6" borderId="0" xfId="0" applyFont="1" applyFill="1"/>
    <xf numFmtId="0" fontId="3" fillId="8" borderId="0" xfId="0" applyFont="1" applyFill="1" applyProtection="1">
      <protection locked="0"/>
    </xf>
    <xf numFmtId="2" fontId="8" fillId="3" borderId="1" xfId="0" applyNumberFormat="1" applyFont="1" applyFill="1" applyBorder="1" applyProtection="1">
      <protection locked="0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142875</xdr:rowOff>
    </xdr:from>
    <xdr:to>
      <xdr:col>34</xdr:col>
      <xdr:colOff>104775</xdr:colOff>
      <xdr:row>23</xdr:row>
      <xdr:rowOff>85725</xdr:rowOff>
    </xdr:to>
    <xdr:sp macro="" textlink="">
      <xdr:nvSpPr>
        <xdr:cNvPr id="2" name="Rectangle 1"/>
        <xdr:cNvSpPr/>
      </xdr:nvSpPr>
      <xdr:spPr>
        <a:xfrm>
          <a:off x="161925" y="142875"/>
          <a:ext cx="14411325" cy="5324475"/>
        </a:xfrm>
        <a:prstGeom prst="rect">
          <a:avLst/>
        </a:prstGeom>
        <a:noFill/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14</xdr:row>
          <xdr:rowOff>38100</xdr:rowOff>
        </xdr:from>
        <xdr:to>
          <xdr:col>3</xdr:col>
          <xdr:colOff>342900</xdr:colOff>
          <xdr:row>16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17</xdr:row>
          <xdr:rowOff>171450</xdr:rowOff>
        </xdr:from>
        <xdr:to>
          <xdr:col>3</xdr:col>
          <xdr:colOff>361950</xdr:colOff>
          <xdr:row>20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56"/>
  <sheetViews>
    <sheetView tabSelected="1" workbookViewId="0">
      <selection activeCell="C3" sqref="C3"/>
    </sheetView>
  </sheetViews>
  <sheetFormatPr defaultColWidth="12.85546875" defaultRowHeight="26.25" x14ac:dyDescent="0.4"/>
  <cols>
    <col min="1" max="1" width="12.85546875" style="2"/>
    <col min="2" max="2" width="17.7109375" style="2" customWidth="1"/>
    <col min="3" max="3" width="18.42578125" style="2" customWidth="1"/>
    <col min="4" max="4" width="12.85546875" style="2" customWidth="1"/>
    <col min="5" max="15" width="2.7109375" style="1" customWidth="1"/>
    <col min="16" max="16" width="15.7109375" style="1" customWidth="1"/>
    <col min="17" max="17" width="14.85546875" style="1" customWidth="1"/>
    <col min="18" max="28" width="2.7109375" style="1" customWidth="1"/>
    <col min="29" max="29" width="12.85546875" style="1"/>
    <col min="30" max="30" width="7.140625" style="1" customWidth="1"/>
    <col min="31" max="31" width="17.85546875" style="1" bestFit="1" customWidth="1"/>
    <col min="32" max="32" width="15.140625" style="1" bestFit="1" customWidth="1"/>
    <col min="33" max="33" width="12.85546875" style="1"/>
    <col min="34" max="34" width="5.5703125" style="1" bestFit="1" customWidth="1"/>
    <col min="35" max="35" width="16.140625" style="4" bestFit="1" customWidth="1"/>
    <col min="36" max="36" width="17.85546875" style="1" bestFit="1" customWidth="1"/>
    <col min="37" max="16384" width="12.85546875" style="1"/>
  </cols>
  <sheetData>
    <row r="1" spans="1:34" x14ac:dyDescent="0.4">
      <c r="B1" s="2">
        <v>1</v>
      </c>
    </row>
    <row r="3" spans="1:34" x14ac:dyDescent="0.4">
      <c r="C3" s="70"/>
    </row>
    <row r="4" spans="1:34" x14ac:dyDescent="0.4">
      <c r="B4" s="37" t="s">
        <v>7</v>
      </c>
      <c r="C4" s="37" t="str">
        <f>AF53</f>
        <v xml:space="preserve">    0xFE, 0xFF, 0x03, 0x03, 0x03, 0x03, 0x03, 0x03, 0xFF, 0xFE, 0x61, 0xE3, 0xC3, 0xC3, 0xC3, 0xC3, 0xC3, 0xC3, 0xFF, 0x7F, </v>
      </c>
      <c r="E4" s="38"/>
      <c r="H4" s="3" t="s">
        <v>3</v>
      </c>
      <c r="J4" s="3"/>
      <c r="K4" s="3"/>
      <c r="T4" s="3" t="s">
        <v>4</v>
      </c>
      <c r="AB4" s="38"/>
      <c r="AC4" s="37" t="s">
        <v>8</v>
      </c>
      <c r="AD4" s="37"/>
      <c r="AE4" s="72">
        <v>9</v>
      </c>
      <c r="AF4" s="2" t="str">
        <f>IF(AE4=0,AL32,IF(AE4=1,AL33,IF(AE4=2,AL34,IF(AE4=3,AL35,IF(AE4=4,AL36,IF(AE4=5,AL37,IF(AE4=6,AL38,IF(AE4=7,AL39,IF(AE4=8,AL40,IF(AE4=9,AL41,AE4))))))))))</f>
        <v xml:space="preserve">    0xFE, 0xFF, 0x03, 0x03, 0x03, 0x03, 0x03, 0x03, 0xFF, 0xFE, 0x61, 0xE3, 0xC3, 0xC3, 0xC3, 0xC3, 0xC3, 0xC3, 0xFF, 0x7F, // 57 9</v>
      </c>
    </row>
    <row r="5" spans="1:34" ht="15" customHeight="1" x14ac:dyDescent="0.4">
      <c r="E5" s="38"/>
      <c r="F5" s="73">
        <v>0</v>
      </c>
      <c r="G5" s="73">
        <v>1</v>
      </c>
      <c r="H5" s="73">
        <v>1</v>
      </c>
      <c r="I5" s="73">
        <v>1</v>
      </c>
      <c r="J5" s="73">
        <v>1</v>
      </c>
      <c r="K5" s="73">
        <v>1</v>
      </c>
      <c r="L5" s="73">
        <v>1</v>
      </c>
      <c r="M5" s="73">
        <v>1</v>
      </c>
      <c r="N5" s="73">
        <v>1</v>
      </c>
      <c r="O5" s="73">
        <v>0</v>
      </c>
      <c r="R5" s="12" t="str">
        <f>MID($AJ33,8,1)</f>
        <v>0</v>
      </c>
      <c r="S5" s="12" t="str">
        <f>MID($AJ34,8,1)</f>
        <v>1</v>
      </c>
      <c r="T5" s="12" t="str">
        <f>MID($AJ35,8,1)</f>
        <v>1</v>
      </c>
      <c r="U5" s="12" t="str">
        <f>MID($AJ36,8,1)</f>
        <v>1</v>
      </c>
      <c r="V5" s="12" t="str">
        <f>MID($AJ37,8,1)</f>
        <v>1</v>
      </c>
      <c r="W5" s="12" t="str">
        <f>MID($AJ38,8,1)</f>
        <v>1</v>
      </c>
      <c r="X5" s="12" t="str">
        <f>MID($AJ39,8,1)</f>
        <v>1</v>
      </c>
      <c r="Y5" s="12" t="str">
        <f>MID($AJ40,8,1)</f>
        <v>1</v>
      </c>
      <c r="Z5" s="12" t="str">
        <f>MID($AJ41,8,1)</f>
        <v>1</v>
      </c>
      <c r="AA5" s="12" t="str">
        <f>MID($AJ42,8,1)</f>
        <v>0</v>
      </c>
      <c r="AB5" s="38"/>
    </row>
    <row r="6" spans="1:34" ht="15" customHeight="1" x14ac:dyDescent="0.4">
      <c r="B6" s="42"/>
      <c r="E6" s="38"/>
      <c r="F6" s="73">
        <v>1</v>
      </c>
      <c r="G6" s="73">
        <v>1</v>
      </c>
      <c r="H6" s="73">
        <v>1</v>
      </c>
      <c r="I6" s="73">
        <v>1</v>
      </c>
      <c r="J6" s="73">
        <v>1</v>
      </c>
      <c r="K6" s="73">
        <v>1</v>
      </c>
      <c r="L6" s="73">
        <v>1</v>
      </c>
      <c r="M6" s="73">
        <v>1</v>
      </c>
      <c r="N6" s="73">
        <v>1</v>
      </c>
      <c r="O6" s="73">
        <v>1</v>
      </c>
      <c r="P6" s="1">
        <v>0</v>
      </c>
      <c r="R6" s="12" t="str">
        <f>MID($AJ33,7,1)</f>
        <v>1</v>
      </c>
      <c r="S6" s="12" t="str">
        <f>MID($AJ34,7,1)</f>
        <v>1</v>
      </c>
      <c r="T6" s="12" t="str">
        <f>MID($AJ35,7,1)</f>
        <v>1</v>
      </c>
      <c r="U6" s="12" t="str">
        <f>MID($AJ36,7,1)</f>
        <v>1</v>
      </c>
      <c r="V6" s="12" t="str">
        <f>MID($AJ37,7,1)</f>
        <v>1</v>
      </c>
      <c r="W6" s="12" t="str">
        <f>MID($AJ38,7,1)</f>
        <v>1</v>
      </c>
      <c r="X6" s="12" t="str">
        <f>MID($AJ39,7,1)</f>
        <v>1</v>
      </c>
      <c r="Y6" s="12" t="str">
        <f>MID($AJ40,7,1)</f>
        <v>1</v>
      </c>
      <c r="Z6" s="12" t="str">
        <f>MID($AJ41,7,1)</f>
        <v>1</v>
      </c>
      <c r="AA6" s="12" t="str">
        <f>MID($AJ42,7,1)</f>
        <v>1</v>
      </c>
      <c r="AB6" s="38"/>
      <c r="AC6" s="39"/>
      <c r="AD6" s="39"/>
      <c r="AE6" s="39"/>
      <c r="AF6" s="39"/>
      <c r="AG6" s="39"/>
      <c r="AH6" s="11"/>
    </row>
    <row r="7" spans="1:34" ht="15" customHeight="1" x14ac:dyDescent="0.4">
      <c r="A7" s="43"/>
      <c r="B7" s="44" t="s">
        <v>10</v>
      </c>
      <c r="E7" s="38"/>
      <c r="F7" s="73">
        <v>1</v>
      </c>
      <c r="G7" s="73">
        <v>1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1</v>
      </c>
      <c r="O7" s="73">
        <v>1</v>
      </c>
      <c r="R7" s="12" t="str">
        <f>MID($AJ33,6,1)</f>
        <v>1</v>
      </c>
      <c r="S7" s="12" t="str">
        <f>MID($AJ34,6,1)</f>
        <v>1</v>
      </c>
      <c r="T7" s="12" t="str">
        <f>MID($AJ35,6,1)</f>
        <v>0</v>
      </c>
      <c r="U7" s="12" t="str">
        <f>MID($AJ36,6,1)</f>
        <v>0</v>
      </c>
      <c r="V7" s="12" t="str">
        <f>MID($AJ37,6,1)</f>
        <v>0</v>
      </c>
      <c r="W7" s="12" t="str">
        <f>MID($AJ38,6,1)</f>
        <v>0</v>
      </c>
      <c r="X7" s="12" t="str">
        <f>MID($AJ39,6,1)</f>
        <v>0</v>
      </c>
      <c r="Y7" s="12" t="str">
        <f>MID($AJ40,6,1)</f>
        <v>0</v>
      </c>
      <c r="Z7" s="12" t="str">
        <f>MID($AJ41,6,1)</f>
        <v>1</v>
      </c>
      <c r="AA7" s="12" t="str">
        <f>MID($AJ42,6,1)</f>
        <v>1</v>
      </c>
      <c r="AB7" s="38"/>
      <c r="AC7" s="39"/>
      <c r="AD7" s="46" t="s">
        <v>17</v>
      </c>
      <c r="AE7" s="46"/>
      <c r="AF7" s="39"/>
      <c r="AG7" s="39"/>
      <c r="AH7" s="11"/>
    </row>
    <row r="8" spans="1:34" ht="15" customHeight="1" x14ac:dyDescent="0.4">
      <c r="A8" s="45"/>
      <c r="B8" s="47" t="s">
        <v>14</v>
      </c>
      <c r="C8" s="51"/>
      <c r="D8" s="52"/>
      <c r="E8" s="38"/>
      <c r="F8" s="73">
        <v>1</v>
      </c>
      <c r="G8" s="73">
        <v>1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1</v>
      </c>
      <c r="O8" s="73">
        <v>1</v>
      </c>
      <c r="R8" s="12" t="str">
        <f>MID($AJ33,5,1)</f>
        <v>1</v>
      </c>
      <c r="S8" s="12" t="str">
        <f>MID($AJ34,5,1)</f>
        <v>1</v>
      </c>
      <c r="T8" s="12" t="str">
        <f>MID($AJ35,5,1)</f>
        <v>0</v>
      </c>
      <c r="U8" s="12" t="str">
        <f>MID($AJ36,5,1)</f>
        <v>0</v>
      </c>
      <c r="V8" s="12" t="str">
        <f>MID($AJ37,5,1)</f>
        <v>0</v>
      </c>
      <c r="W8" s="12" t="str">
        <f>MID($AJ38,5,1)</f>
        <v>0</v>
      </c>
      <c r="X8" s="12" t="str">
        <f>MID($AJ39,5,1)</f>
        <v>0</v>
      </c>
      <c r="Y8" s="12" t="str">
        <f>MID($AJ40,5,1)</f>
        <v>0</v>
      </c>
      <c r="Z8" s="12" t="str">
        <f>MID($AJ41,5,1)</f>
        <v>1</v>
      </c>
      <c r="AA8" s="12" t="str">
        <f>MID($AJ42,5,1)</f>
        <v>1</v>
      </c>
      <c r="AB8" s="38"/>
      <c r="AC8" s="39"/>
      <c r="AD8" s="56" t="s">
        <v>20</v>
      </c>
      <c r="AE8" s="57"/>
      <c r="AF8" s="57"/>
      <c r="AG8" s="58"/>
      <c r="AH8" s="11"/>
    </row>
    <row r="9" spans="1:34" ht="15" customHeight="1" x14ac:dyDescent="0.4">
      <c r="A9" s="45"/>
      <c r="B9" s="39" t="s">
        <v>11</v>
      </c>
      <c r="C9" s="53"/>
      <c r="D9" s="45"/>
      <c r="E9" s="38"/>
      <c r="F9" s="73">
        <v>1</v>
      </c>
      <c r="G9" s="73">
        <v>1</v>
      </c>
      <c r="H9" s="73">
        <v>0</v>
      </c>
      <c r="I9" s="73">
        <v>0</v>
      </c>
      <c r="J9" s="73">
        <v>0</v>
      </c>
      <c r="K9" s="73">
        <v>0</v>
      </c>
      <c r="L9" s="73">
        <v>0</v>
      </c>
      <c r="M9" s="73">
        <v>0</v>
      </c>
      <c r="N9" s="73">
        <v>1</v>
      </c>
      <c r="O9" s="73">
        <v>1</v>
      </c>
      <c r="R9" s="12" t="str">
        <f>MID($AJ33,4,1)</f>
        <v>1</v>
      </c>
      <c r="S9" s="12" t="str">
        <f>MID($AJ34,4,1)</f>
        <v>1</v>
      </c>
      <c r="T9" s="12" t="str">
        <f>MID($AJ35,4,1)</f>
        <v>0</v>
      </c>
      <c r="U9" s="12" t="str">
        <f>MID($AJ36,4,1)</f>
        <v>0</v>
      </c>
      <c r="V9" s="12" t="str">
        <f>MID($AJ37,4,1)</f>
        <v>0</v>
      </c>
      <c r="W9" s="12" t="str">
        <f>MID($AJ38,4,1)</f>
        <v>0</v>
      </c>
      <c r="X9" s="12" t="str">
        <f>MID($AJ39,4,1)</f>
        <v>0</v>
      </c>
      <c r="Y9" s="12" t="str">
        <f>MID($AJ40,4,1)</f>
        <v>0</v>
      </c>
      <c r="Z9" s="12" t="str">
        <f>MID($AJ41,4,1)</f>
        <v>1</v>
      </c>
      <c r="AA9" s="12" t="str">
        <f>MID($AJ42,4,1)</f>
        <v>1</v>
      </c>
      <c r="AB9" s="38"/>
      <c r="AC9" s="39"/>
      <c r="AD9" s="54" t="s">
        <v>21</v>
      </c>
      <c r="AE9" s="47"/>
      <c r="AF9" s="47"/>
      <c r="AG9" s="49"/>
      <c r="AH9" s="11"/>
    </row>
    <row r="10" spans="1:34" ht="15" customHeight="1" x14ac:dyDescent="0.4">
      <c r="A10" s="49"/>
      <c r="B10" s="39" t="s">
        <v>13</v>
      </c>
      <c r="C10" s="54"/>
      <c r="D10" s="49"/>
      <c r="E10" s="38"/>
      <c r="F10" s="73">
        <v>1</v>
      </c>
      <c r="G10" s="73">
        <v>1</v>
      </c>
      <c r="H10" s="73">
        <v>0</v>
      </c>
      <c r="I10" s="73">
        <v>0</v>
      </c>
      <c r="J10" s="73">
        <v>0</v>
      </c>
      <c r="K10" s="73">
        <v>0</v>
      </c>
      <c r="L10" s="73">
        <v>0</v>
      </c>
      <c r="M10" s="73">
        <v>0</v>
      </c>
      <c r="N10" s="73">
        <v>1</v>
      </c>
      <c r="O10" s="73">
        <v>1</v>
      </c>
      <c r="R10" s="12" t="str">
        <f>MID($AJ33,3,1)</f>
        <v>1</v>
      </c>
      <c r="S10" s="12" t="str">
        <f>MID($AJ34,3,1)</f>
        <v>1</v>
      </c>
      <c r="T10" s="12" t="str">
        <f>MID($AJ35,3,1)</f>
        <v>0</v>
      </c>
      <c r="U10" s="12" t="str">
        <f>MID($AJ36,3,1)</f>
        <v>0</v>
      </c>
      <c r="V10" s="12" t="str">
        <f>MID($AJ37,3,1)</f>
        <v>0</v>
      </c>
      <c r="W10" s="12" t="str">
        <f>MID($AJ38,3,1)</f>
        <v>0</v>
      </c>
      <c r="X10" s="12" t="str">
        <f>MID($AJ39,3,1)</f>
        <v>0</v>
      </c>
      <c r="Y10" s="12" t="str">
        <f>MID($AJ40,3,1)</f>
        <v>0</v>
      </c>
      <c r="Z10" s="12" t="str">
        <f>MID($AJ41,3,1)</f>
        <v>1</v>
      </c>
      <c r="AA10" s="12" t="str">
        <f>MID($AJ42,3,1)</f>
        <v>1</v>
      </c>
      <c r="AB10" s="38"/>
      <c r="AC10" s="39"/>
      <c r="AD10" s="50" t="s">
        <v>19</v>
      </c>
      <c r="AE10" s="41"/>
      <c r="AF10" s="41"/>
      <c r="AG10" s="55"/>
      <c r="AH10" s="11"/>
    </row>
    <row r="11" spans="1:34" ht="15" customHeight="1" x14ac:dyDescent="0.4">
      <c r="A11" s="49"/>
      <c r="B11" s="39" t="s">
        <v>15</v>
      </c>
      <c r="C11" s="54"/>
      <c r="D11" s="49"/>
      <c r="E11" s="38"/>
      <c r="F11" s="73">
        <v>1</v>
      </c>
      <c r="G11" s="73">
        <v>1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1</v>
      </c>
      <c r="O11" s="73">
        <v>1</v>
      </c>
      <c r="R11" s="12" t="str">
        <f>MID($AJ33,2,1)</f>
        <v>1</v>
      </c>
      <c r="S11" s="12" t="str">
        <f>MID($AJ34,2,1)</f>
        <v>1</v>
      </c>
      <c r="T11" s="12" t="str">
        <f>MID($AJ35,2,1)</f>
        <v>0</v>
      </c>
      <c r="U11" s="12" t="str">
        <f>MID($AJ36,2,1)</f>
        <v>0</v>
      </c>
      <c r="V11" s="12" t="str">
        <f>MID($AJ37,2,1)</f>
        <v>0</v>
      </c>
      <c r="W11" s="12" t="str">
        <f>MID($AJ38,2,1)</f>
        <v>0</v>
      </c>
      <c r="X11" s="12" t="str">
        <f>MID($AJ39,2,1)</f>
        <v>0</v>
      </c>
      <c r="Y11" s="12" t="str">
        <f>MID($AJ40,2,1)</f>
        <v>0</v>
      </c>
      <c r="Z11" s="12" t="str">
        <f>MID($AJ41,2,1)</f>
        <v>1</v>
      </c>
      <c r="AA11" s="12" t="str">
        <f>MID($AJ42,2,1)</f>
        <v>1</v>
      </c>
      <c r="AB11" s="38"/>
      <c r="AC11" s="39"/>
      <c r="AD11" s="48"/>
      <c r="AE11" s="39"/>
      <c r="AF11" s="39"/>
      <c r="AG11" s="39"/>
      <c r="AH11" s="11"/>
    </row>
    <row r="12" spans="1:34" ht="15" customHeight="1" x14ac:dyDescent="0.4">
      <c r="A12" s="49"/>
      <c r="B12" s="39" t="s">
        <v>16</v>
      </c>
      <c r="C12" s="54"/>
      <c r="D12" s="49"/>
      <c r="E12" s="38"/>
      <c r="F12" s="73">
        <v>1</v>
      </c>
      <c r="G12" s="73">
        <v>1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1</v>
      </c>
      <c r="O12" s="73">
        <v>1</v>
      </c>
      <c r="R12" s="12" t="str">
        <f>MID($AJ33,1,1)</f>
        <v>1</v>
      </c>
      <c r="S12" s="12" t="str">
        <f>MID($AJ34,1,1)</f>
        <v>1</v>
      </c>
      <c r="T12" s="12" t="str">
        <f>MID($AJ35,1,1)</f>
        <v>0</v>
      </c>
      <c r="U12" s="12" t="str">
        <f>MID($AJ36,1,1)</f>
        <v>0</v>
      </c>
      <c r="V12" s="12" t="str">
        <f>MID($AJ37,1,1)</f>
        <v>0</v>
      </c>
      <c r="W12" s="12" t="str">
        <f>MID($AJ38,1,1)</f>
        <v>0</v>
      </c>
      <c r="X12" s="12" t="str">
        <f>MID($AJ39,1,1)</f>
        <v>0</v>
      </c>
      <c r="Y12" s="12" t="str">
        <f>MID($AJ40,1,1)</f>
        <v>0</v>
      </c>
      <c r="Z12" s="12" t="str">
        <f>MID($AJ41,1,1)</f>
        <v>1</v>
      </c>
      <c r="AA12" s="12" t="str">
        <f>MID($AJ42,1,1)</f>
        <v>1</v>
      </c>
      <c r="AB12" s="38"/>
      <c r="AC12" s="39"/>
      <c r="AD12" s="48"/>
      <c r="AE12" s="39"/>
      <c r="AF12" s="39"/>
      <c r="AG12" s="39"/>
      <c r="AH12" s="39"/>
    </row>
    <row r="13" spans="1:34" ht="15" customHeight="1" x14ac:dyDescent="0.4">
      <c r="A13" s="49"/>
      <c r="B13" s="50" t="s">
        <v>12</v>
      </c>
      <c r="C13" s="50"/>
      <c r="D13" s="55"/>
      <c r="E13" s="38"/>
      <c r="F13" s="73">
        <v>1</v>
      </c>
      <c r="G13" s="73">
        <v>1</v>
      </c>
      <c r="H13" s="73">
        <v>1</v>
      </c>
      <c r="I13" s="73">
        <v>1</v>
      </c>
      <c r="J13" s="73">
        <v>1</v>
      </c>
      <c r="K13" s="73">
        <v>1</v>
      </c>
      <c r="L13" s="73">
        <v>1</v>
      </c>
      <c r="M13" s="73">
        <v>1</v>
      </c>
      <c r="N13" s="73">
        <v>1</v>
      </c>
      <c r="O13" s="73">
        <v>1</v>
      </c>
      <c r="R13" s="12" t="str">
        <f>MID($AJ43,8,1)</f>
        <v>1</v>
      </c>
      <c r="S13" s="12" t="str">
        <f>MID($AJ44,8,1)</f>
        <v>1</v>
      </c>
      <c r="T13" s="12" t="str">
        <f>MID($AJ45,8,1)</f>
        <v>1</v>
      </c>
      <c r="U13" s="12" t="str">
        <f>MID($AJ46,8,1)</f>
        <v>1</v>
      </c>
      <c r="V13" s="12" t="str">
        <f>MID($AJ47,8,1)</f>
        <v>1</v>
      </c>
      <c r="W13" s="12" t="str">
        <f>MID($AJ48,8,1)</f>
        <v>1</v>
      </c>
      <c r="X13" s="12" t="str">
        <f>MID($AJ49,8,1)</f>
        <v>1</v>
      </c>
      <c r="Y13" s="12" t="str">
        <f>MID($AJ50,8,1)</f>
        <v>1</v>
      </c>
      <c r="Z13" s="12" t="str">
        <f>MID($AJ51,8,1)</f>
        <v>1</v>
      </c>
      <c r="AA13" s="12" t="str">
        <f>MID($AJ52,8,1)</f>
        <v>1</v>
      </c>
      <c r="AB13" s="38"/>
      <c r="AC13" s="39"/>
      <c r="AE13" s="39"/>
      <c r="AF13" s="39"/>
      <c r="AG13" s="39"/>
      <c r="AH13" s="39"/>
    </row>
    <row r="14" spans="1:34" ht="15" customHeight="1" x14ac:dyDescent="0.4">
      <c r="A14" s="39"/>
      <c r="B14" s="40"/>
      <c r="C14" s="39"/>
      <c r="D14" s="39"/>
      <c r="E14" s="38"/>
      <c r="F14" s="73">
        <v>0</v>
      </c>
      <c r="G14" s="73">
        <v>1</v>
      </c>
      <c r="H14" s="73">
        <v>1</v>
      </c>
      <c r="I14" s="73">
        <v>1</v>
      </c>
      <c r="J14" s="73">
        <v>1</v>
      </c>
      <c r="K14" s="73">
        <v>1</v>
      </c>
      <c r="L14" s="73">
        <v>1</v>
      </c>
      <c r="M14" s="73">
        <v>1</v>
      </c>
      <c r="N14" s="73">
        <v>1</v>
      </c>
      <c r="O14" s="73">
        <v>1</v>
      </c>
      <c r="R14" s="12" t="str">
        <f>MID($AJ43,7,1)</f>
        <v>0</v>
      </c>
      <c r="S14" s="12" t="str">
        <f>MID($AJ44,7,1)</f>
        <v>1</v>
      </c>
      <c r="T14" s="12" t="str">
        <f>MID($AJ45,7,1)</f>
        <v>1</v>
      </c>
      <c r="U14" s="12" t="str">
        <f>MID($AJ46,7,1)</f>
        <v>1</v>
      </c>
      <c r="V14" s="12" t="str">
        <f>MID($AJ47,7,1)</f>
        <v>1</v>
      </c>
      <c r="W14" s="12" t="str">
        <f>MID($AJ48,7,1)</f>
        <v>1</v>
      </c>
      <c r="X14" s="12" t="str">
        <f>MID($AJ49,7,1)</f>
        <v>1</v>
      </c>
      <c r="Y14" s="12" t="str">
        <f>MID($AJ50,7,1)</f>
        <v>1</v>
      </c>
      <c r="Z14" s="12" t="str">
        <f>MID($AJ51,7,1)</f>
        <v>1</v>
      </c>
      <c r="AA14" s="12" t="str">
        <f>MID($AJ52,7,1)</f>
        <v>1</v>
      </c>
      <c r="AB14" s="38"/>
      <c r="AC14" s="39"/>
      <c r="AD14" s="39"/>
      <c r="AE14" s="39"/>
      <c r="AF14" s="39"/>
      <c r="AG14" s="39"/>
      <c r="AH14" s="39"/>
    </row>
    <row r="15" spans="1:34" ht="15" customHeight="1" x14ac:dyDescent="0.4">
      <c r="A15" s="39"/>
      <c r="C15" s="39"/>
      <c r="D15" s="39"/>
      <c r="E15" s="38"/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1</v>
      </c>
      <c r="O15" s="73">
        <v>1</v>
      </c>
      <c r="R15" s="12" t="str">
        <f>MID($AJ43,6,1)</f>
        <v>0</v>
      </c>
      <c r="S15" s="12" t="str">
        <f>MID($AJ44,6,1)</f>
        <v>0</v>
      </c>
      <c r="T15" s="12" t="str">
        <f>MID($AJ45,6,1)</f>
        <v>0</v>
      </c>
      <c r="U15" s="12" t="str">
        <f>MID($AJ46,6,1)</f>
        <v>0</v>
      </c>
      <c r="V15" s="12" t="str">
        <f>MID($AJ47,6,1)</f>
        <v>0</v>
      </c>
      <c r="W15" s="12" t="str">
        <f>MID($AJ48,6,1)</f>
        <v>0</v>
      </c>
      <c r="X15" s="12" t="str">
        <f>MID($AJ49,6,1)</f>
        <v>0</v>
      </c>
      <c r="Y15" s="12" t="str">
        <f>MID($AJ50,6,1)</f>
        <v>0</v>
      </c>
      <c r="Z15" s="12" t="str">
        <f>MID($AJ51,6,1)</f>
        <v>1</v>
      </c>
      <c r="AA15" s="12" t="str">
        <f>MID($AJ52,6,1)</f>
        <v>1</v>
      </c>
      <c r="AB15" s="38"/>
      <c r="AC15" s="39"/>
      <c r="AD15" s="39"/>
      <c r="AE15" s="39"/>
      <c r="AF15" s="39"/>
      <c r="AG15" s="39"/>
      <c r="AH15" s="39"/>
    </row>
    <row r="16" spans="1:34" ht="15" customHeight="1" x14ac:dyDescent="0.4">
      <c r="A16" s="39"/>
      <c r="C16" s="39"/>
      <c r="D16" s="39"/>
      <c r="E16" s="38"/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1</v>
      </c>
      <c r="O16" s="73">
        <v>1</v>
      </c>
      <c r="R16" s="12" t="str">
        <f>MID($AJ43,5,1)</f>
        <v>0</v>
      </c>
      <c r="S16" s="12" t="str">
        <f>MID($AJ44,5,1)</f>
        <v>0</v>
      </c>
      <c r="T16" s="12" t="str">
        <f>MID($AJ45,5,1)</f>
        <v>0</v>
      </c>
      <c r="U16" s="12" t="str">
        <f>MID($AJ46,5,1)</f>
        <v>0</v>
      </c>
      <c r="V16" s="12" t="str">
        <f>MID($AJ47,5,1)</f>
        <v>0</v>
      </c>
      <c r="W16" s="12" t="str">
        <f>MID($AJ48,5,1)</f>
        <v>0</v>
      </c>
      <c r="X16" s="12" t="str">
        <f>MID($AJ49,5,1)</f>
        <v>0</v>
      </c>
      <c r="Y16" s="12" t="str">
        <f>MID($AJ50,5,1)</f>
        <v>0</v>
      </c>
      <c r="Z16" s="12" t="str">
        <f>MID($AJ51,5,1)</f>
        <v>1</v>
      </c>
      <c r="AA16" s="12" t="str">
        <f>MID($AJ52,5,1)</f>
        <v>1</v>
      </c>
      <c r="AB16" s="38"/>
      <c r="AC16" s="39"/>
      <c r="AD16" s="39"/>
      <c r="AE16" s="39"/>
      <c r="AF16" s="39"/>
      <c r="AG16" s="39"/>
      <c r="AH16" s="39"/>
    </row>
    <row r="17" spans="1:38" ht="15" customHeight="1" x14ac:dyDescent="0.4">
      <c r="A17" s="39"/>
      <c r="C17" s="39"/>
      <c r="D17" s="39"/>
      <c r="E17" s="38"/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1</v>
      </c>
      <c r="O17" s="73">
        <v>1</v>
      </c>
      <c r="R17" s="12" t="str">
        <f>MID($AJ43,4,1)</f>
        <v>0</v>
      </c>
      <c r="S17" s="12" t="str">
        <f>MID($AJ44,4,1)</f>
        <v>0</v>
      </c>
      <c r="T17" s="12" t="str">
        <f>MID($AJ45,4,1)</f>
        <v>0</v>
      </c>
      <c r="U17" s="12" t="str">
        <f>MID($AJ46,4,1)</f>
        <v>0</v>
      </c>
      <c r="V17" s="12" t="str">
        <f>MID($AJ47,4,1)</f>
        <v>0</v>
      </c>
      <c r="W17" s="12" t="str">
        <f>MID($AJ48,4,1)</f>
        <v>0</v>
      </c>
      <c r="X17" s="12" t="str">
        <f>MID($AJ49,4,1)</f>
        <v>0</v>
      </c>
      <c r="Y17" s="12" t="str">
        <f>MID($AJ50,4,1)</f>
        <v>0</v>
      </c>
      <c r="Z17" s="12" t="str">
        <f>MID($AJ51,4,1)</f>
        <v>1</v>
      </c>
      <c r="AA17" s="12" t="str">
        <f>MID($AJ52,4,1)</f>
        <v>1</v>
      </c>
      <c r="AB17" s="38"/>
      <c r="AC17" s="39"/>
      <c r="AD17" s="39"/>
      <c r="AE17" s="39"/>
      <c r="AF17" s="39"/>
      <c r="AG17" s="39"/>
      <c r="AH17" s="39"/>
    </row>
    <row r="18" spans="1:38" ht="15" customHeight="1" x14ac:dyDescent="0.4">
      <c r="A18" s="39"/>
      <c r="C18" s="39"/>
      <c r="D18" s="39"/>
      <c r="E18" s="38"/>
      <c r="F18" s="73">
        <v>1</v>
      </c>
      <c r="G18" s="73">
        <v>1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1</v>
      </c>
      <c r="O18" s="73">
        <v>1</v>
      </c>
      <c r="R18" s="12" t="str">
        <f>MID($AJ43,3,1)</f>
        <v>1</v>
      </c>
      <c r="S18" s="12" t="str">
        <f>MID($AJ44,3,1)</f>
        <v>1</v>
      </c>
      <c r="T18" s="12" t="str">
        <f>MID($AJ45,3,1)</f>
        <v>0</v>
      </c>
      <c r="U18" s="12" t="str">
        <f>MID($AJ46,3,1)</f>
        <v>0</v>
      </c>
      <c r="V18" s="12" t="str">
        <f>MID($AJ47,3,1)</f>
        <v>0</v>
      </c>
      <c r="W18" s="12" t="str">
        <f>MID($AJ48,3,1)</f>
        <v>0</v>
      </c>
      <c r="X18" s="12" t="str">
        <f>MID($AJ49,3,1)</f>
        <v>0</v>
      </c>
      <c r="Y18" s="12" t="str">
        <f>MID($AJ50,3,1)</f>
        <v>0</v>
      </c>
      <c r="Z18" s="12" t="str">
        <f>MID($AJ51,3,1)</f>
        <v>1</v>
      </c>
      <c r="AA18" s="12" t="str">
        <f>MID($AJ52,3,1)</f>
        <v>1</v>
      </c>
      <c r="AB18" s="38"/>
      <c r="AC18" s="39"/>
      <c r="AD18" s="39"/>
      <c r="AF18" s="39"/>
      <c r="AG18" s="39"/>
      <c r="AH18" s="39"/>
    </row>
    <row r="19" spans="1:38" ht="15" customHeight="1" x14ac:dyDescent="0.4">
      <c r="A19" s="39"/>
      <c r="C19" s="39"/>
      <c r="D19" s="39"/>
      <c r="E19" s="38"/>
      <c r="F19" s="73">
        <v>1</v>
      </c>
      <c r="G19" s="73">
        <v>1</v>
      </c>
      <c r="H19" s="73">
        <v>1</v>
      </c>
      <c r="I19" s="73">
        <v>1</v>
      </c>
      <c r="J19" s="73">
        <v>1</v>
      </c>
      <c r="K19" s="73">
        <v>1</v>
      </c>
      <c r="L19" s="73">
        <v>1</v>
      </c>
      <c r="M19" s="73">
        <v>1</v>
      </c>
      <c r="N19" s="73">
        <v>1</v>
      </c>
      <c r="O19" s="73">
        <v>1</v>
      </c>
      <c r="R19" s="12" t="str">
        <f>MID($AJ43,2,1)</f>
        <v>1</v>
      </c>
      <c r="S19" s="12" t="str">
        <f>MID($AJ44,2,1)</f>
        <v>1</v>
      </c>
      <c r="T19" s="12" t="str">
        <f>MID($AJ45,2,1)</f>
        <v>1</v>
      </c>
      <c r="U19" s="12" t="str">
        <f>MID($AJ46,2,1)</f>
        <v>1</v>
      </c>
      <c r="V19" s="12" t="str">
        <f>MID($AJ47,2,1)</f>
        <v>1</v>
      </c>
      <c r="W19" s="12" t="str">
        <f>MID($AJ48,2,1)</f>
        <v>1</v>
      </c>
      <c r="X19" s="12" t="str">
        <f>MID($AJ49,2,1)</f>
        <v>1</v>
      </c>
      <c r="Y19" s="12" t="str">
        <f>MID($AJ50,2,1)</f>
        <v>1</v>
      </c>
      <c r="Z19" s="12" t="str">
        <f>MID($AJ51,2,1)</f>
        <v>1</v>
      </c>
      <c r="AA19" s="12" t="str">
        <f>MID($AJ52,2,1)</f>
        <v>1</v>
      </c>
      <c r="AB19" s="38"/>
      <c r="AC19" s="39"/>
      <c r="AD19" s="39"/>
      <c r="AE19" s="39"/>
      <c r="AF19" s="39"/>
      <c r="AG19" s="39"/>
      <c r="AH19" s="39"/>
    </row>
    <row r="20" spans="1:38" ht="15" customHeight="1" x14ac:dyDescent="0.4">
      <c r="A20" s="39"/>
      <c r="C20" s="39"/>
      <c r="D20" s="39"/>
      <c r="E20" s="38"/>
      <c r="F20" s="73">
        <v>0</v>
      </c>
      <c r="G20" s="73">
        <v>1</v>
      </c>
      <c r="H20" s="73">
        <v>1</v>
      </c>
      <c r="I20" s="73">
        <v>1</v>
      </c>
      <c r="J20" s="73">
        <v>1</v>
      </c>
      <c r="K20" s="73">
        <v>1</v>
      </c>
      <c r="L20" s="73">
        <v>1</v>
      </c>
      <c r="M20" s="73">
        <v>1</v>
      </c>
      <c r="N20" s="73">
        <v>1</v>
      </c>
      <c r="O20" s="73">
        <v>0</v>
      </c>
      <c r="R20" s="12" t="str">
        <f>MID($AJ43,1,1)</f>
        <v>0</v>
      </c>
      <c r="S20" s="12" t="str">
        <f>MID($AJ44,1,1)</f>
        <v>1</v>
      </c>
      <c r="T20" s="12" t="str">
        <f>MID($AJ45,1,1)</f>
        <v>1</v>
      </c>
      <c r="U20" s="12" t="str">
        <f>MID($AJ46,1,1)</f>
        <v>1</v>
      </c>
      <c r="V20" s="12" t="str">
        <f>MID($AJ47,1,1)</f>
        <v>1</v>
      </c>
      <c r="W20" s="12" t="str">
        <f>MID($AJ48,1,1)</f>
        <v>1</v>
      </c>
      <c r="X20" s="12" t="str">
        <f>MID($AJ49,1,1)</f>
        <v>1</v>
      </c>
      <c r="Y20" s="12" t="str">
        <f>MID($AJ50,1,1)</f>
        <v>1</v>
      </c>
      <c r="Z20" s="12" t="str">
        <f>MID($AJ51,1,1)</f>
        <v>1</v>
      </c>
      <c r="AA20" s="12" t="str">
        <f>MID($AJ52,1,1)</f>
        <v>0</v>
      </c>
      <c r="AB20" s="38"/>
      <c r="AC20" s="39"/>
      <c r="AD20" s="39"/>
      <c r="AE20" s="39"/>
      <c r="AF20" s="39"/>
      <c r="AG20" s="39"/>
      <c r="AH20" s="39"/>
    </row>
    <row r="21" spans="1:38" ht="27" thickBot="1" x14ac:dyDescent="0.45">
      <c r="A21" s="39"/>
      <c r="C21" s="39"/>
      <c r="D21" s="39"/>
      <c r="E21" s="38"/>
      <c r="M21" s="60"/>
      <c r="N21" s="60"/>
      <c r="O21" s="60"/>
      <c r="AB21" s="38"/>
      <c r="AC21" s="39"/>
      <c r="AD21" s="39"/>
      <c r="AE21" s="39"/>
      <c r="AF21" s="39"/>
      <c r="AG21" s="39"/>
      <c r="AH21" s="39"/>
    </row>
    <row r="22" spans="1:38" x14ac:dyDescent="0.4">
      <c r="A22" s="39"/>
      <c r="B22" s="39"/>
      <c r="C22" s="39"/>
      <c r="D22" s="39"/>
      <c r="L22" s="59"/>
      <c r="M22" s="61"/>
      <c r="N22" s="62"/>
      <c r="O22" s="67" t="s">
        <v>18</v>
      </c>
      <c r="P22" s="61"/>
      <c r="Q22" s="62"/>
      <c r="R22" s="62"/>
      <c r="S22" s="63"/>
      <c r="AC22" s="39"/>
      <c r="AD22" s="39"/>
      <c r="AE22" s="39"/>
      <c r="AF22" s="39"/>
      <c r="AG22" s="39"/>
      <c r="AH22" s="39"/>
    </row>
    <row r="23" spans="1:38" ht="27" thickBot="1" x14ac:dyDescent="0.45">
      <c r="A23" s="39"/>
      <c r="B23" s="39"/>
      <c r="C23" s="39"/>
      <c r="D23" s="39"/>
      <c r="L23" s="59"/>
      <c r="M23" s="69" t="s">
        <v>9</v>
      </c>
      <c r="N23" s="68"/>
      <c r="O23" s="64"/>
      <c r="P23" s="66"/>
      <c r="Q23" s="64"/>
      <c r="R23" s="64"/>
      <c r="S23" s="65"/>
      <c r="AC23" s="3"/>
      <c r="AD23" s="39"/>
      <c r="AE23" s="39"/>
      <c r="AF23" s="39"/>
      <c r="AG23" s="39"/>
      <c r="AH23" s="39"/>
    </row>
    <row r="30" spans="1:38" x14ac:dyDescent="0.4">
      <c r="AC30" s="16"/>
      <c r="AD30" s="16"/>
      <c r="AE30" s="16"/>
      <c r="AF30" s="16"/>
      <c r="AG30" s="16"/>
      <c r="AH30" s="16"/>
      <c r="AI30" s="21"/>
      <c r="AJ30" s="16"/>
      <c r="AK30" s="16"/>
      <c r="AL30" s="13"/>
    </row>
    <row r="31" spans="1:38" x14ac:dyDescent="0.4">
      <c r="AC31" s="16"/>
      <c r="AD31" s="27"/>
      <c r="AE31" s="27" t="s">
        <v>3</v>
      </c>
      <c r="AF31" s="27"/>
      <c r="AG31" s="26"/>
      <c r="AH31" s="27"/>
      <c r="AI31" s="28" t="s">
        <v>4</v>
      </c>
      <c r="AJ31" s="27"/>
      <c r="AK31" s="13"/>
      <c r="AL31" s="13"/>
    </row>
    <row r="32" spans="1:38" x14ac:dyDescent="0.4">
      <c r="AC32" s="16"/>
      <c r="AD32" s="17" t="s">
        <v>1</v>
      </c>
      <c r="AE32" s="18" t="s">
        <v>0</v>
      </c>
      <c r="AF32" s="22" t="s">
        <v>2</v>
      </c>
      <c r="AG32" s="26"/>
      <c r="AH32" s="24" t="s">
        <v>1</v>
      </c>
      <c r="AI32" s="20" t="s">
        <v>2</v>
      </c>
      <c r="AJ32" s="19" t="s">
        <v>5</v>
      </c>
      <c r="AK32" s="36"/>
      <c r="AL32" s="71" t="s">
        <v>22</v>
      </c>
    </row>
    <row r="33" spans="29:38" x14ac:dyDescent="0.4">
      <c r="AC33" s="16"/>
      <c r="AD33" s="15">
        <v>1</v>
      </c>
      <c r="AE33" s="8" t="str">
        <f>F12&amp;F11&amp;F10&amp;F9&amp;F8&amp;F7&amp;F6&amp;F5</f>
        <v>11111110</v>
      </c>
      <c r="AF33" s="23" t="str">
        <f t="shared" ref="AF33:AF52" si="0">BIN2HEX(AE33,2)</f>
        <v>FE</v>
      </c>
      <c r="AG33" s="16"/>
      <c r="AH33" s="25">
        <v>1</v>
      </c>
      <c r="AI33" s="7" t="str">
        <f>MID(AJ53,AK33,2)</f>
        <v>FE</v>
      </c>
      <c r="AJ33" s="9" t="str">
        <f>HEX2BIN(AI33,8)</f>
        <v>11111110</v>
      </c>
      <c r="AK33" s="36">
        <v>7</v>
      </c>
      <c r="AL33" s="71" t="s">
        <v>23</v>
      </c>
    </row>
    <row r="34" spans="29:38" x14ac:dyDescent="0.4">
      <c r="AC34" s="16"/>
      <c r="AD34" s="15">
        <v>2</v>
      </c>
      <c r="AE34" s="8" t="str">
        <f>G12&amp;G11&amp;G10&amp;G9&amp;G8&amp;G7&amp;G6&amp;G5</f>
        <v>11111111</v>
      </c>
      <c r="AF34" s="23" t="str">
        <f t="shared" si="0"/>
        <v>FF</v>
      </c>
      <c r="AG34" s="16"/>
      <c r="AH34" s="25">
        <v>2</v>
      </c>
      <c r="AI34" s="10" t="str">
        <f>MID(AJ53,AK34,2)</f>
        <v>FF</v>
      </c>
      <c r="AJ34" s="9" t="str">
        <f t="shared" ref="AJ34:AJ52" si="1">HEX2BIN(AI34,8)</f>
        <v>11111111</v>
      </c>
      <c r="AK34" s="36">
        <v>13</v>
      </c>
      <c r="AL34" s="71" t="s">
        <v>24</v>
      </c>
    </row>
    <row r="35" spans="29:38" x14ac:dyDescent="0.4">
      <c r="AC35" s="16"/>
      <c r="AD35" s="15">
        <v>3</v>
      </c>
      <c r="AE35" s="8" t="str">
        <f>H12&amp;H11&amp;H10&amp;H9&amp;H8&amp;H7&amp;H6&amp;H5</f>
        <v>00000011</v>
      </c>
      <c r="AF35" s="23" t="str">
        <f t="shared" si="0"/>
        <v>03</v>
      </c>
      <c r="AG35" s="16"/>
      <c r="AH35" s="25">
        <v>3</v>
      </c>
      <c r="AI35" s="10" t="str">
        <f>MID(AJ53,AK35,2)</f>
        <v>03</v>
      </c>
      <c r="AJ35" s="9" t="str">
        <f t="shared" si="1"/>
        <v>00000011</v>
      </c>
      <c r="AK35" s="36">
        <v>19</v>
      </c>
      <c r="AL35" s="71" t="s">
        <v>25</v>
      </c>
    </row>
    <row r="36" spans="29:38" x14ac:dyDescent="0.4">
      <c r="AC36" s="16"/>
      <c r="AD36" s="15">
        <v>4</v>
      </c>
      <c r="AE36" s="8" t="str">
        <f>I12&amp;I11&amp;I10&amp;I9&amp;I8&amp;I7&amp;I6&amp;I5</f>
        <v>00000011</v>
      </c>
      <c r="AF36" s="23" t="str">
        <f t="shared" si="0"/>
        <v>03</v>
      </c>
      <c r="AG36" s="16"/>
      <c r="AH36" s="25">
        <v>4</v>
      </c>
      <c r="AI36" s="29" t="str">
        <f>MID(AJ53,AK36,2)</f>
        <v>03</v>
      </c>
      <c r="AJ36" s="9" t="str">
        <f t="shared" si="1"/>
        <v>00000011</v>
      </c>
      <c r="AK36" s="36">
        <v>25</v>
      </c>
      <c r="AL36" s="71" t="s">
        <v>26</v>
      </c>
    </row>
    <row r="37" spans="29:38" x14ac:dyDescent="0.4">
      <c r="AC37" s="16"/>
      <c r="AD37" s="15">
        <v>5</v>
      </c>
      <c r="AE37" s="8" t="str">
        <f>J12&amp;J11&amp;J10&amp;J9&amp;J8&amp;J7&amp;J6&amp;J5</f>
        <v>00000011</v>
      </c>
      <c r="AF37" s="23" t="str">
        <f t="shared" si="0"/>
        <v>03</v>
      </c>
      <c r="AG37" s="16"/>
      <c r="AH37" s="25">
        <v>5</v>
      </c>
      <c r="AI37" s="10" t="str">
        <f>MID(AJ53,AK37,2)</f>
        <v>03</v>
      </c>
      <c r="AJ37" s="9" t="str">
        <f t="shared" si="1"/>
        <v>00000011</v>
      </c>
      <c r="AK37" s="36">
        <v>31</v>
      </c>
      <c r="AL37" s="71" t="s">
        <v>27</v>
      </c>
    </row>
    <row r="38" spans="29:38" x14ac:dyDescent="0.4">
      <c r="AC38" s="16"/>
      <c r="AD38" s="15">
        <v>6</v>
      </c>
      <c r="AE38" s="8" t="str">
        <f>K12&amp;K11&amp;K10&amp;K9&amp;K8&amp;K7&amp;K6&amp;K5</f>
        <v>00000011</v>
      </c>
      <c r="AF38" s="23" t="str">
        <f t="shared" si="0"/>
        <v>03</v>
      </c>
      <c r="AG38" s="16"/>
      <c r="AH38" s="25">
        <v>6</v>
      </c>
      <c r="AI38" s="10" t="str">
        <f>MID(AJ53,AK38,2)</f>
        <v>03</v>
      </c>
      <c r="AJ38" s="9" t="str">
        <f t="shared" si="1"/>
        <v>00000011</v>
      </c>
      <c r="AK38" s="36">
        <v>37</v>
      </c>
      <c r="AL38" s="71" t="s">
        <v>28</v>
      </c>
    </row>
    <row r="39" spans="29:38" x14ac:dyDescent="0.4">
      <c r="AC39" s="16"/>
      <c r="AD39" s="15">
        <v>7</v>
      </c>
      <c r="AE39" s="8" t="str">
        <f>L12&amp;L11&amp;L10&amp;L9&amp;L8&amp;L7&amp;L6&amp;L5</f>
        <v>00000011</v>
      </c>
      <c r="AF39" s="23" t="str">
        <f t="shared" si="0"/>
        <v>03</v>
      </c>
      <c r="AG39" s="16"/>
      <c r="AH39" s="25">
        <v>7</v>
      </c>
      <c r="AI39" s="10" t="str">
        <f>MID(AJ53,AK39,2)</f>
        <v>03</v>
      </c>
      <c r="AJ39" s="9" t="str">
        <f t="shared" si="1"/>
        <v>00000011</v>
      </c>
      <c r="AK39" s="36">
        <v>43</v>
      </c>
      <c r="AL39" s="71" t="s">
        <v>29</v>
      </c>
    </row>
    <row r="40" spans="29:38" x14ac:dyDescent="0.4">
      <c r="AC40" s="16"/>
      <c r="AD40" s="15">
        <v>8</v>
      </c>
      <c r="AE40" s="8" t="str">
        <f>M12&amp;M11&amp;M10&amp;M9&amp;M8&amp;M7&amp;M6&amp;M5</f>
        <v>00000011</v>
      </c>
      <c r="AF40" s="23" t="str">
        <f t="shared" si="0"/>
        <v>03</v>
      </c>
      <c r="AG40" s="16"/>
      <c r="AH40" s="25">
        <v>8</v>
      </c>
      <c r="AI40" s="10" t="str">
        <f>MID(AJ53,AK40,2)</f>
        <v>03</v>
      </c>
      <c r="AJ40" s="9" t="str">
        <f t="shared" si="1"/>
        <v>00000011</v>
      </c>
      <c r="AK40" s="36">
        <v>49</v>
      </c>
      <c r="AL40" s="71" t="s">
        <v>30</v>
      </c>
    </row>
    <row r="41" spans="29:38" x14ac:dyDescent="0.4">
      <c r="AC41" s="16"/>
      <c r="AD41" s="15">
        <v>9</v>
      </c>
      <c r="AE41" s="8" t="str">
        <f>N12&amp;N11&amp;N10&amp;N9&amp;N8&amp;N7&amp;N6&amp;N5</f>
        <v>11111111</v>
      </c>
      <c r="AF41" s="23" t="str">
        <f t="shared" si="0"/>
        <v>FF</v>
      </c>
      <c r="AG41" s="16"/>
      <c r="AH41" s="25">
        <v>9</v>
      </c>
      <c r="AI41" s="10" t="str">
        <f>MID(AJ53,AK41,2)</f>
        <v>FF</v>
      </c>
      <c r="AJ41" s="9" t="str">
        <f t="shared" si="1"/>
        <v>11111111</v>
      </c>
      <c r="AK41" s="36">
        <v>55</v>
      </c>
      <c r="AL41" s="71" t="s">
        <v>31</v>
      </c>
    </row>
    <row r="42" spans="29:38" x14ac:dyDescent="0.4">
      <c r="AC42" s="16"/>
      <c r="AD42" s="15">
        <v>10</v>
      </c>
      <c r="AE42" s="8" t="str">
        <f>O12&amp;O11&amp;O10&amp;O9&amp;O8&amp;O7&amp;O6&amp;O5</f>
        <v>11111110</v>
      </c>
      <c r="AF42" s="23" t="str">
        <f t="shared" si="0"/>
        <v>FE</v>
      </c>
      <c r="AG42" s="16"/>
      <c r="AH42" s="25">
        <v>10</v>
      </c>
      <c r="AI42" s="10" t="str">
        <f>MID(AJ53,AK42,2)</f>
        <v>FE</v>
      </c>
      <c r="AJ42" s="9" t="str">
        <f t="shared" si="1"/>
        <v>11111110</v>
      </c>
      <c r="AK42" s="36">
        <v>61</v>
      </c>
      <c r="AL42" s="71"/>
    </row>
    <row r="43" spans="29:38" x14ac:dyDescent="0.4">
      <c r="AC43" s="16"/>
      <c r="AD43" s="15">
        <v>11</v>
      </c>
      <c r="AE43" s="8" t="str">
        <f>F20&amp;F19&amp;F18&amp;F17&amp;F16&amp;F15&amp;F14&amp;F13</f>
        <v>01100001</v>
      </c>
      <c r="AF43" s="23" t="str">
        <f t="shared" si="0"/>
        <v>61</v>
      </c>
      <c r="AG43" s="16"/>
      <c r="AH43" s="25">
        <v>11</v>
      </c>
      <c r="AI43" s="10" t="str">
        <f>MID(AJ53,AK43,2)</f>
        <v>61</v>
      </c>
      <c r="AJ43" s="9" t="str">
        <f t="shared" si="1"/>
        <v>01100001</v>
      </c>
      <c r="AK43" s="36">
        <v>67</v>
      </c>
      <c r="AL43" s="71"/>
    </row>
    <row r="44" spans="29:38" x14ac:dyDescent="0.4">
      <c r="AC44" s="16"/>
      <c r="AD44" s="15">
        <v>12</v>
      </c>
      <c r="AE44" s="8" t="str">
        <f>G20&amp;G19&amp;G18&amp;G17&amp;G16&amp;G15&amp;G14&amp;G13</f>
        <v>11100011</v>
      </c>
      <c r="AF44" s="23" t="str">
        <f t="shared" si="0"/>
        <v>E3</v>
      </c>
      <c r="AG44" s="16"/>
      <c r="AH44" s="25">
        <v>12</v>
      </c>
      <c r="AI44" s="10" t="str">
        <f>MID(AJ53,AK44,2)</f>
        <v>E3</v>
      </c>
      <c r="AJ44" s="9" t="str">
        <f t="shared" si="1"/>
        <v>11100011</v>
      </c>
      <c r="AK44" s="36">
        <v>73</v>
      </c>
      <c r="AL44" s="71"/>
    </row>
    <row r="45" spans="29:38" x14ac:dyDescent="0.4">
      <c r="AC45" s="16"/>
      <c r="AD45" s="15">
        <v>13</v>
      </c>
      <c r="AE45" s="8" t="str">
        <f>H20&amp;H19&amp;H18&amp;H17&amp;H16&amp;H15&amp;H14&amp;H13</f>
        <v>11000011</v>
      </c>
      <c r="AF45" s="23" t="str">
        <f t="shared" si="0"/>
        <v>C3</v>
      </c>
      <c r="AG45" s="16"/>
      <c r="AH45" s="25">
        <v>13</v>
      </c>
      <c r="AI45" s="10" t="str">
        <f>MID(AJ53,AK45,2)</f>
        <v>C3</v>
      </c>
      <c r="AJ45" s="9" t="str">
        <f t="shared" si="1"/>
        <v>11000011</v>
      </c>
      <c r="AK45" s="36">
        <v>79</v>
      </c>
      <c r="AL45" s="13"/>
    </row>
    <row r="46" spans="29:38" x14ac:dyDescent="0.4">
      <c r="AC46" s="16"/>
      <c r="AD46" s="15">
        <v>14</v>
      </c>
      <c r="AE46" s="8" t="str">
        <f>I20&amp;I19&amp;I18&amp;I17&amp;I16&amp;I15&amp;I14&amp;I13</f>
        <v>11000011</v>
      </c>
      <c r="AF46" s="23" t="str">
        <f t="shared" si="0"/>
        <v>C3</v>
      </c>
      <c r="AG46" s="16"/>
      <c r="AH46" s="25">
        <v>14</v>
      </c>
      <c r="AI46" s="10" t="str">
        <f>MID(AJ53,AK46,2)</f>
        <v>C3</v>
      </c>
      <c r="AJ46" s="9" t="str">
        <f t="shared" si="1"/>
        <v>11000011</v>
      </c>
      <c r="AK46" s="36">
        <v>85</v>
      </c>
      <c r="AL46" s="13"/>
    </row>
    <row r="47" spans="29:38" x14ac:dyDescent="0.4">
      <c r="AC47" s="16"/>
      <c r="AD47" s="15">
        <v>15</v>
      </c>
      <c r="AE47" s="8" t="str">
        <f>J20&amp;J19&amp;J18&amp;J17&amp;J16&amp;J15&amp;J14&amp;J13</f>
        <v>11000011</v>
      </c>
      <c r="AF47" s="23" t="str">
        <f t="shared" si="0"/>
        <v>C3</v>
      </c>
      <c r="AG47" s="16"/>
      <c r="AH47" s="25">
        <v>15</v>
      </c>
      <c r="AI47" s="10" t="str">
        <f>MID(AJ53,AK47,2)</f>
        <v>C3</v>
      </c>
      <c r="AJ47" s="9" t="str">
        <f t="shared" si="1"/>
        <v>11000011</v>
      </c>
      <c r="AK47" s="36">
        <v>91</v>
      </c>
      <c r="AL47" s="13"/>
    </row>
    <row r="48" spans="29:38" x14ac:dyDescent="0.4">
      <c r="AC48" s="16"/>
      <c r="AD48" s="15">
        <v>16</v>
      </c>
      <c r="AE48" s="8" t="str">
        <f>K20&amp;K19&amp;K18&amp;K17&amp;K16&amp;K15&amp;K14&amp;K13</f>
        <v>11000011</v>
      </c>
      <c r="AF48" s="23" t="str">
        <f t="shared" si="0"/>
        <v>C3</v>
      </c>
      <c r="AG48" s="16"/>
      <c r="AH48" s="25">
        <v>16</v>
      </c>
      <c r="AI48" s="10" t="str">
        <f>MID(AJ53,AK48,2)</f>
        <v>C3</v>
      </c>
      <c r="AJ48" s="9" t="str">
        <f t="shared" si="1"/>
        <v>11000011</v>
      </c>
      <c r="AK48" s="36">
        <v>97</v>
      </c>
      <c r="AL48" s="13"/>
    </row>
    <row r="49" spans="29:38" x14ac:dyDescent="0.4">
      <c r="AC49" s="16"/>
      <c r="AD49" s="15">
        <v>17</v>
      </c>
      <c r="AE49" s="8" t="str">
        <f>L20&amp;L19&amp;L18&amp;L17&amp;L16&amp;L15&amp;L14&amp;L13</f>
        <v>11000011</v>
      </c>
      <c r="AF49" s="23" t="str">
        <f t="shared" si="0"/>
        <v>C3</v>
      </c>
      <c r="AG49" s="16"/>
      <c r="AH49" s="25">
        <v>17</v>
      </c>
      <c r="AI49" s="10" t="str">
        <f>MID(AJ53,AK49,2)</f>
        <v>C3</v>
      </c>
      <c r="AJ49" s="9" t="str">
        <f t="shared" si="1"/>
        <v>11000011</v>
      </c>
      <c r="AK49" s="36">
        <v>103</v>
      </c>
      <c r="AL49" s="13"/>
    </row>
    <row r="50" spans="29:38" x14ac:dyDescent="0.4">
      <c r="AC50" s="16"/>
      <c r="AD50" s="15">
        <v>18</v>
      </c>
      <c r="AE50" s="8" t="str">
        <f>M20&amp;M19&amp;M18&amp;M17&amp;M16&amp;M15&amp;M14&amp;M13</f>
        <v>11000011</v>
      </c>
      <c r="AF50" s="23" t="str">
        <f t="shared" si="0"/>
        <v>C3</v>
      </c>
      <c r="AG50" s="16"/>
      <c r="AH50" s="25">
        <v>18</v>
      </c>
      <c r="AI50" s="10" t="str">
        <f>MID(AJ53,AK50,2)</f>
        <v>C3</v>
      </c>
      <c r="AJ50" s="9" t="str">
        <f t="shared" si="1"/>
        <v>11000011</v>
      </c>
      <c r="AK50" s="36">
        <v>109</v>
      </c>
      <c r="AL50" s="13"/>
    </row>
    <row r="51" spans="29:38" x14ac:dyDescent="0.4">
      <c r="AC51" s="16"/>
      <c r="AD51" s="15">
        <v>19</v>
      </c>
      <c r="AE51" s="8" t="str">
        <f>N20&amp;N19&amp;N18&amp;N17&amp;N16&amp;N15&amp;N14&amp;N13</f>
        <v>11111111</v>
      </c>
      <c r="AF51" s="23" t="str">
        <f t="shared" si="0"/>
        <v>FF</v>
      </c>
      <c r="AG51" s="16"/>
      <c r="AH51" s="25">
        <v>19</v>
      </c>
      <c r="AI51" s="10" t="str">
        <f>MID(AJ53,AK51,2)</f>
        <v>FF</v>
      </c>
      <c r="AJ51" s="9" t="str">
        <f t="shared" si="1"/>
        <v>11111111</v>
      </c>
      <c r="AK51" s="36">
        <v>115</v>
      </c>
      <c r="AL51" s="13"/>
    </row>
    <row r="52" spans="29:38" ht="27" thickBot="1" x14ac:dyDescent="0.45">
      <c r="AC52" s="16"/>
      <c r="AD52" s="15">
        <v>20</v>
      </c>
      <c r="AE52" s="8" t="str">
        <f>O20&amp;O19&amp;O18&amp;O17&amp;O16&amp;O15&amp;O14&amp;O13</f>
        <v>01111111</v>
      </c>
      <c r="AF52" s="31" t="str">
        <f t="shared" si="0"/>
        <v>7F</v>
      </c>
      <c r="AG52" s="16"/>
      <c r="AH52" s="25">
        <v>20</v>
      </c>
      <c r="AI52" s="10" t="str">
        <f>MID(AJ53,AK52,2)</f>
        <v>7F</v>
      </c>
      <c r="AJ52" s="34" t="str">
        <f t="shared" si="1"/>
        <v>01111111</v>
      </c>
      <c r="AK52" s="36">
        <v>121</v>
      </c>
      <c r="AL52" s="13"/>
    </row>
    <row r="53" spans="29:38" ht="27" thickBot="1" x14ac:dyDescent="0.45">
      <c r="AC53" s="13"/>
      <c r="AD53" s="5"/>
      <c r="AE53" s="5"/>
      <c r="AF53" s="33" t="str">
        <f>"    "&amp;"0x"&amp;AF33&amp;", "&amp;"0x"&amp;AF34&amp;", "&amp;"0x"&amp;AF35&amp;", "&amp;"0x"&amp;AF36&amp;", "&amp;"0x"&amp;AF37&amp;", "&amp;"0x"&amp;AF38&amp;", "&amp;"0x"&amp;AF39&amp;", "&amp;"0x"&amp;AF40&amp;", "&amp;"0x"&amp;AF41&amp;", "&amp;"0x"&amp;AF42&amp;", "&amp;"0x"&amp;AF43&amp;", "&amp;"0x"&amp;AF44&amp;", "&amp;"0x"&amp;AF45&amp;", "&amp;"0x"&amp;AF46&amp;", "&amp;"0x"&amp;AF47&amp;", "&amp;"0x"&amp;AF48&amp;", "&amp;"0x"&amp;AF49&amp;", "&amp;"0x"&amp;AF50&amp;", "&amp;"0x"&amp;AF51&amp;", "&amp;"0x"&amp;AF52&amp;", "</f>
        <v xml:space="preserve">    0xFE, 0xFF, 0x03, 0x03, 0x03, 0x03, 0x03, 0x03, 0xFF, 0xFE, 0x61, 0xE3, 0xC3, 0xC3, 0xC3, 0xC3, 0xC3, 0xC3, 0xFF, 0x7F, </v>
      </c>
      <c r="AG53" s="30" t="s">
        <v>6</v>
      </c>
      <c r="AH53" s="6"/>
      <c r="AI53" s="7"/>
      <c r="AJ53" s="35" t="str">
        <f>AF4</f>
        <v xml:space="preserve">    0xFE, 0xFF, 0x03, 0x03, 0x03, 0x03, 0x03, 0x03, 0xFF, 0xFE, 0x61, 0xE3, 0xC3, 0xC3, 0xC3, 0xC3, 0xC3, 0xC3, 0xFF, 0x7F, // 57 9</v>
      </c>
      <c r="AK53" s="36" t="s">
        <v>6</v>
      </c>
      <c r="AL53" s="13"/>
    </row>
    <row r="54" spans="29:38" x14ac:dyDescent="0.4">
      <c r="AC54" s="13"/>
      <c r="AD54" s="5"/>
      <c r="AE54" s="5"/>
      <c r="AF54" s="5"/>
      <c r="AG54" s="16"/>
      <c r="AH54" s="6"/>
      <c r="AI54" s="7"/>
      <c r="AJ54" s="7"/>
      <c r="AK54" s="13"/>
      <c r="AL54" s="13"/>
    </row>
    <row r="55" spans="29:38" x14ac:dyDescent="0.4">
      <c r="AC55" s="13"/>
      <c r="AD55" s="32"/>
      <c r="AE55" s="5"/>
      <c r="AF55" s="5"/>
      <c r="AG55" s="16"/>
      <c r="AH55" s="6"/>
      <c r="AI55" s="7"/>
      <c r="AJ55" s="6"/>
      <c r="AK55" s="13"/>
      <c r="AL55" s="13"/>
    </row>
    <row r="56" spans="29:38" x14ac:dyDescent="0.4">
      <c r="AC56" s="13"/>
      <c r="AD56" s="13"/>
      <c r="AE56" s="13"/>
      <c r="AF56" s="13"/>
      <c r="AG56" s="13"/>
      <c r="AH56" s="13"/>
      <c r="AI56" s="14"/>
      <c r="AJ56" s="13"/>
      <c r="AK56" s="13"/>
      <c r="AL56" s="13"/>
    </row>
  </sheetData>
  <sheetProtection formatCells="0" formatColumns="0" formatRows="0"/>
  <conditionalFormatting sqref="R5:AA20">
    <cfRule type="containsText" dxfId="5" priority="11" operator="containsText" text="1">
      <formula>NOT(ISERROR(SEARCH("1",R5)))</formula>
    </cfRule>
    <cfRule type="containsText" dxfId="4" priority="13" operator="containsText" text="1">
      <formula>NOT(ISERROR(SEARCH("1",R5)))</formula>
    </cfRule>
    <cfRule type="cellIs" dxfId="3" priority="14" operator="equal">
      <formula>1</formula>
    </cfRule>
  </conditionalFormatting>
  <conditionalFormatting sqref="F5:O20">
    <cfRule type="containsText" dxfId="2" priority="1" operator="containsText" text="1">
      <formula>NOT(ISERROR(SEARCH("1",F5)))</formula>
    </cfRule>
    <cfRule type="containsText" dxfId="1" priority="2" operator="containsText" text="1">
      <formula>NOT(ISERROR(SEARCH("1",F5)))</formula>
    </cfRule>
    <cfRule type="cellIs" dxfId="0" priority="3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PY">
                <anchor moveWithCells="1" sizeWithCells="1">
                  <from>
                    <xdr:col>2</xdr:col>
                    <xdr:colOff>428625</xdr:colOff>
                    <xdr:row>14</xdr:row>
                    <xdr:rowOff>38100</xdr:rowOff>
                  </from>
                  <to>
                    <xdr:col>3</xdr:col>
                    <xdr:colOff>342900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ULT">
                <anchor moveWithCells="1" sizeWithCells="1">
                  <from>
                    <xdr:col>2</xdr:col>
                    <xdr:colOff>419100</xdr:colOff>
                    <xdr:row>17</xdr:row>
                    <xdr:rowOff>171450</xdr:rowOff>
                  </from>
                  <to>
                    <xdr:col>3</xdr:col>
                    <xdr:colOff>361950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2020-01-13T17:44:16Z</dcterms:modified>
</cp:coreProperties>
</file>